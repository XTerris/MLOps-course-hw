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f97273816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5bb75ed187914cfa"/>
    <x:sheet xmlns:r="http://schemas.openxmlformats.org/officeDocument/2006/relationships" name="Параметры" sheetId="2" r:id="R5939638022a44c95"/>
    <x:sheet xmlns:r="http://schemas.openxmlformats.org/officeDocument/2006/relationships" name="LoRA" sheetId="3" r:id="Rb244a49b8b2a475a"/>
    <x:sheet xmlns:r="http://schemas.openxmlformats.org/officeDocument/2006/relationships" name="Память" sheetId="4" r:id="R10a74839c4454368"/>
    <x:sheet xmlns:r="http://schemas.openxmlformats.org/officeDocument/2006/relationships" name="Ответы" sheetId="5" r:id="R961758c798e0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%"/>
    <x:numFmt numFmtId="165" formatCode="#,##0.0"/>
    <x:numFmt numFmtId="166" formatCode="0.0"/>
    <x:numFmt numFmtId="200" formatCode="#,##0"/>
    <x:numFmt numFmtId="201" formatCode="0.00%"/>
    <x:numFmt numFmtId="202" formatCode="#,##0.000"/>
  </x:numFmts>
  <x:fonts count="11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  <x:font>
      <x:b/>
      <x:sz val="12"/>
      <x:color rgb="FF6D28D9"/>
      <x:name val="Calibri"/>
    </x:font>
    <x:font>
      <x:b/>
      <x:sz val="11"/>
      <x:color theme="1"/>
      <x:name val="Calibri"/>
    </x:font>
    <x:font>
      <x:sz val="11"/>
      <x:color theme="1"/>
      <x:name val="Arial"/>
    </x:font>
    <x:font>
      <x:b/>
      <x:sz val="11"/>
      <x:color theme="1"/>
      <x:name val="Arial"/>
    </x:font>
    <x:font>
      <x:i/>
      <x:sz val="10"/>
      <x:color rgb="FF66666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200" fontId="2" fillId="3" borderId="1" xfId="0" applyNumberFormat="1" applyFont="1" applyFill="1" applyBorder="1"/>
    <x:xf numFmtId="20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1" fontId="2" fillId="4" borderId="1" xfId="0" applyNumberFormat="1" applyFont="1" applyFill="1" applyBorder="1"/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8" fillId="6" borderId="0" xfId="0" applyNumberFormat="1" applyFont="1" applyFill="1" applyBorder="1"/>
    <x:xf numFmtId="0" fontId="8" fillId="7" borderId="0" xfId="0" applyNumberFormat="1" applyFont="1" applyFill="1" applyBorder="1"/>
    <x:xf numFmtId="0" fontId="9" fillId="0" borderId="0" xfId="0" applyNumberFormat="1" applyFont="1" applyFill="1" applyBorder="1"/>
    <x:xf numFmtId="0" fontId="9" fillId="7" borderId="0" xfId="0" applyNumberFormat="1" applyFont="1" applyFill="1" applyBorder="1"/>
    <x:xf numFmtId="200" fontId="8" fillId="7" borderId="0" xfId="0" applyNumberFormat="1" applyFont="1" applyFill="1" applyBorder="1"/>
    <x:xf numFmtId="200" fontId="9" fillId="7" borderId="0" xfId="0" applyNumberFormat="1" applyFont="1" applyFill="1" applyBorder="1"/>
    <x:xf numFmtId="200" fontId="8" fillId="6" borderId="0" xfId="0" applyNumberFormat="1" applyFont="1" applyFill="1" applyBorder="1"/>
    <x:xf numFmtId="200" fontId="8" fillId="0" borderId="0" xfId="0" applyNumberFormat="1" applyFont="1" applyFill="1" applyBorder="1"/>
    <x:xf numFmtId="164" fontId="2" fillId="4" borderId="1" xfId="0" applyNumberFormat="1" applyFont="1" applyFill="1" applyBorder="1"/>
    <x:xf numFmtId="164" fontId="8" fillId="7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165" fontId="2" fillId="3" borderId="1" xfId="0" applyNumberFormat="1" applyFont="1" applyFill="1" applyBorder="1"/>
    <x:xf numFmtId="166" fontId="2" fillId="3" borderId="1" xfId="0" applyNumberFormat="1" applyFont="1" applyFill="1" applyBorder="1"/>
    <x:xf numFmtId="202" fontId="2" fillId="4" borderId="1" xfId="0" applyNumberFormat="1" applyFont="1" applyFill="1" applyBorder="1"/>
    <x:xf numFmtId="0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b21b7c2ae4d3a" /><Relationship Type="http://schemas.openxmlformats.org/officeDocument/2006/relationships/theme" Target="/xl/theme/theme1.xml" Id="R66b209a9d65f4677" /><Relationship Type="http://schemas.openxmlformats.org/officeDocument/2006/relationships/sharedStrings" Target="/xl/sharedStrings.xml" Id="Rae90401073f04a13" /><Relationship Type="http://schemas.openxmlformats.org/officeDocument/2006/relationships/worksheet" Target="/xl/worksheets/sheet1.xml" Id="R5bb75ed187914cfa" /><Relationship Type="http://schemas.openxmlformats.org/officeDocument/2006/relationships/worksheet" Target="/xl/worksheets/sheet2.xml" Id="R5939638022a44c95" /><Relationship Type="http://schemas.openxmlformats.org/officeDocument/2006/relationships/worksheet" Target="/xl/worksheets/sheet3.xml" Id="Rb244a49b8b2a475a" /><Relationship Type="http://schemas.openxmlformats.org/officeDocument/2006/relationships/worksheet" Target="/xl/worksheets/sheet4.xml" Id="R10a74839c4454368" /><Relationship Type="http://schemas.openxmlformats.org/officeDocument/2006/relationships/worksheet" Target="/xl/worksheets/sheet5.xml" Id="R961758c798e040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44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25" t="n">
        <x:v>1</x:v>
      </x:c>
      <x:c r="C5" s="25" t="n">
        <x:v>151936</x:v>
      </x:c>
      <x:c r="D5" s="25" t="n">
        <x:v>1024</x:v>
      </x:c>
      <x:c r="E5" s="26" t="n">
        <x:f>IF(COUNT(B5:D5)=3,B5*C5*D5,"")</x:f>
        <x:v>155582464</x:v>
      </x:c>
      <x:c r="F5" s="25" t="n">
        <x:v>155582464</x:v>
      </x:c>
      <x:c r="G5" s="11" t="str">
        <x:f>IF(E5="","—",IF(E5=F5,"сходится","РАСХОЖДЕНИЕ"))</x:f>
        <x:v>сходится</x:v>
      </x:c>
      <x:c r="H5" s="29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25" t="n">
        <x:v>28</x:v>
      </x:c>
      <x:c r="C6" s="25" t="n">
        <x:v>2048</x:v>
      </x:c>
      <x:c r="D6" s="25" t="n">
        <x:v>1024</x:v>
      </x:c>
      <x:c r="E6" s="26" t="n">
        <x:f>IF(COUNT(B6:D6)=3,B6*C6*D6,"")</x:f>
        <x:v>58720256</x:v>
      </x:c>
      <x:c r="F6" s="25" t="n">
        <x:v>58720256</x:v>
      </x:c>
      <x:c r="G6" s="11" t="str">
        <x:f>IF(E6="","—",IF(E6=F6,"сходится","РАСХОЖДЕНИЕ"))</x:f>
        <x:v>сходится</x:v>
      </x:c>
      <x:c r="H6" s="29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25" t="n">
        <x:v>28</x:v>
      </x:c>
      <x:c r="C7" s="25" t="n">
        <x:v>1024</x:v>
      </x:c>
      <x:c r="D7" s="25" t="n">
        <x:v>1024</x:v>
      </x:c>
      <x:c r="E7" s="26" t="n">
        <x:f>IF(COUNT(B7:D7)=3,B7*C7*D7,"")</x:f>
        <x:v>29360128</x:v>
      </x:c>
      <x:c r="F7" s="25" t="n">
        <x:v>29360128</x:v>
      </x:c>
      <x:c r="G7" s="11" t="str">
        <x:f>IF(E7="","—",IF(E7=F7,"сходится","РАСХОЖДЕНИЕ"))</x:f>
        <x:v>сходится</x:v>
      </x:c>
      <x:c r="H7" s="29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25" t="n">
        <x:v>28</x:v>
      </x:c>
      <x:c r="C8" s="25" t="n">
        <x:v>1024</x:v>
      </x:c>
      <x:c r="D8" s="25" t="n">
        <x:v>1024</x:v>
      </x:c>
      <x:c r="E8" s="26" t="n">
        <x:f>IF(COUNT(B8:D8)=3,B8*C8*D8,"")</x:f>
        <x:v>29360128</x:v>
      </x:c>
      <x:c r="F8" s="25" t="n">
        <x:v>29360128</x:v>
      </x:c>
      <x:c r="G8" s="11" t="str">
        <x:f>IF(E8="","—",IF(E8=F8,"сходится","РАСХОЖДЕНИЕ"))</x:f>
        <x:v>сходится</x:v>
      </x:c>
      <x:c r="H8" s="29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25" t="n">
        <x:v>28</x:v>
      </x:c>
      <x:c r="C9" s="25" t="n">
        <x:v>1024</x:v>
      </x:c>
      <x:c r="D9" s="25" t="n">
        <x:v>2048</x:v>
      </x:c>
      <x:c r="E9" s="26" t="n">
        <x:f>IF(COUNT(B9:D9)=3,B9*C9*D9,"")</x:f>
        <x:v>58720256</x:v>
      </x:c>
      <x:c r="F9" s="25" t="n">
        <x:v>58720256</x:v>
      </x:c>
      <x:c r="G9" s="11" t="str">
        <x:f>IF(E9="","—",IF(E9=F9,"сходится","РАСХОЖДЕНИЕ"))</x:f>
        <x:v>сходится</x:v>
      </x:c>
      <x:c r="H9" s="29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25" t="n">
        <x:v>28</x:v>
      </x:c>
      <x:c r="C10" s="25" t="n">
        <x:v>3072</x:v>
      </x:c>
      <x:c r="D10" s="25" t="n">
        <x:v>1024</x:v>
      </x:c>
      <x:c r="E10" s="26" t="n">
        <x:f>IF(COUNT(B10:D10)=3,B10*C10*D10,"")</x:f>
        <x:v>88080384</x:v>
      </x:c>
      <x:c r="F10" s="25" t="n">
        <x:v>88080384</x:v>
      </x:c>
      <x:c r="G10" s="11" t="str">
        <x:f>IF(E10="","—",IF(E10=F10,"сходится","РАСХОЖДЕНИЕ"))</x:f>
        <x:v>сходится</x:v>
      </x:c>
      <x:c r="H10" s="29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25" t="n">
        <x:v>28</x:v>
      </x:c>
      <x:c r="C11" s="25" t="n">
        <x:v>3072</x:v>
      </x:c>
      <x:c r="D11" s="25" t="n">
        <x:v>1024</x:v>
      </x:c>
      <x:c r="E11" s="26" t="n">
        <x:f>IF(COUNT(B11:D11)=3,B11*C11*D11,"")</x:f>
        <x:v>88080384</x:v>
      </x:c>
      <x:c r="F11" s="25" t="n">
        <x:v>88080384</x:v>
      </x:c>
      <x:c r="G11" s="11" t="str">
        <x:f>IF(E11="","—",IF(E11=F11,"сходится","РАСХОЖДЕНИЕ"))</x:f>
        <x:v>сходится</x:v>
      </x:c>
      <x:c r="H11" s="29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25" t="n">
        <x:v>28</x:v>
      </x:c>
      <x:c r="C12" s="25" t="n">
        <x:v>1024</x:v>
      </x:c>
      <x:c r="D12" s="25" t="n">
        <x:v>3072</x:v>
      </x:c>
      <x:c r="E12" s="26" t="n">
        <x:f>IF(COUNT(B12:D12)=3,B12*C12*D12,"")</x:f>
        <x:v>88080384</x:v>
      </x:c>
      <x:c r="F12" s="25" t="n">
        <x:v>88080384</x:v>
      </x:c>
      <x:c r="G12" s="11" t="str">
        <x:f>IF(E12="","—",IF(E12=F12,"сходится","РАСХОЖДЕНИЕ"))</x:f>
        <x:v>сходится</x:v>
      </x:c>
      <x:c r="H12" s="29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25" t="n">
        <x:v>113</x:v>
      </x:c>
      <x:c r="C13" s="25" t="str">
        <x:v>разные</x:v>
      </x:c>
      <x:c r="D13" s="25" t="n">
        <x:v>1</x:v>
      </x:c>
      <x:c r="E13" s="26" t="str">
        <x:f>IF(COUNT(B13:D13)=3,B13*C13*D13,"")</x:f>
      </x:c>
      <x:c r="F13" s="25" t="n">
        <x:v>65536</x:v>
      </x:c>
      <x:c r="G13" s="11" t="str">
        <x:f>IF(E13="","—",IF(E13=F13,"сходится","РАСХОЖДЕНИЕ"))</x:f>
        <x:v>—</x:v>
      </x:c>
      <x:c r="H13" s="29" t="n">
        <x:f>IF($F$15=0,"",F13/$F$15)</x:f>
        <x:v>0.00010995052226498076</x:v>
      </x:c>
      <x:c r="I13" s="13" t="str">
        <x:v>113 векторов двух размеров; расчёт ниже</x:v>
      </x:c>
    </x:row>
    <x:row r="14">
      <x:c r="A14" s="7" t="inlineStr">
        <x:is>
          <x:t xml:space="preserve">lm_head</x:t>
        </x:is>
      </x:c>
      <x:c r="B14" s="25" t="n">
        <x:v>0</x:v>
      </x:c>
      <x:c r="C14" s="25" t="n">
        <x:v>151936</x:v>
      </x:c>
      <x:c r="D14" s="25" t="n">
        <x:v>1024</x:v>
      </x:c>
      <x:c r="E14" s="26" t="n">
        <x:f>IF(COUNT(B14:D14)=3,B14*C14*D14,"")</x:f>
        <x:v>0</x:v>
      </x:c>
      <x:c r="F14" s="25" t="n">
        <x:v>0</x:v>
      </x:c>
      <x:c r="G14" s="11" t="str">
        <x:f>IF(E14="","—",IF(E14=F14,"сходится","РАСХОЖДЕНИЕ"))</x:f>
        <x:v>—</x:v>
      </x:c>
      <x:c r="H14" s="29" t="n">
        <x:f>IF($F$15=0,"",F14/$F$15)</x:f>
        <x:v>0</x:v>
      </x:c>
      <x:c r="I14" s="13" t="str">
        <x:v>0 собственных матриц; вес общий с embed</x:v>
      </x:c>
    </x:row>
    <x:row r="15">
      <x:c r="A15" s="14" t="inlineStr">
        <x:is>
          <x:t xml:space="preserve">ИТОГО</x:t>
        </x:is>
      </x:c>
      <x:c r="B15" s="27"/>
      <x:c r="C15" s="27"/>
      <x:c r="D15" s="27"/>
      <x:c r="E15" s="27"/>
      <x:c r="F15" s="28" t="n">
        <x:f>SUM(F5:F14)</x:f>
        <x:v>596049920</x:v>
      </x:c>
      <x:c r="H15" s="29" t="n">
        <x:f>IF(F15=0,"",F15/F15)</x:f>
        <x:v>1</x:v>
      </x:c>
    </x:row>
    <x:row r="16">
      <x:c r="B16" s="27"/>
      <x:c r="C16" s="27"/>
      <x:c r="D16" s="27"/>
      <x:c r="E16" s="27"/>
      <x:c r="F16" s="27"/>
    </x:row>
    <x:row r="17">
      <x:c r="A17" s="14" t="inlineStr">
        <x:is>
          <x:t xml:space="preserve">params_total из отчёта</x:t>
        </x:is>
      </x:c>
      <x:c r="B17" s="27"/>
      <x:c r="C17" s="27"/>
      <x:c r="D17" s="27"/>
      <x:c r="E17" s="27"/>
      <x:c r="F17" s="25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  <x:row r="21">
      <x:c r="A21" s="30" t="str">
        <x:v>Нормы: два размера векторов</x:v>
      </x:c>
      <x:c r="B21" s="30"/>
      <x:c r="C21" s="30"/>
      <x:c r="D21" s="30"/>
      <x:c r="E21" s="30"/>
    </x:row>
    <x:row r="23">
      <x:c r="A23" s="32" t="str">
        <x:v>Тип норм</x:v>
      </x:c>
      <x:c r="B23" s="32" t="str">
        <x:v>Штук</x:v>
      </x:c>
      <x:c r="C23" s="32" t="str">
        <x:v>Длина</x:v>
      </x:c>
      <x:c r="D23" s="32" t="str">
        <x:v>Столбцов</x:v>
      </x:c>
      <x:c r="E23" s="32" t="str">
        <x:v>Параметров</x:v>
      </x:c>
    </x:row>
    <x:row r="24">
      <x:c r="A24" t="str">
        <x:v>hidden</x:v>
      </x:c>
      <x:c r="B24" s="33" t="n">
        <x:v>57</x:v>
      </x:c>
      <x:c r="C24" s="33" t="n">
        <x:v>1024</x:v>
      </x:c>
      <x:c r="D24" s="33" t="n">
        <x:v>1</x:v>
      </x:c>
      <x:c r="E24" s="35" t="n">
        <x:f>B24*C24*D24</x:f>
        <x:v>58368</x:v>
      </x:c>
    </x:row>
    <x:row r="25">
      <x:c r="A25" t="str">
        <x:v>q / k</x:v>
      </x:c>
      <x:c r="B25" s="33" t="n">
        <x:v>56</x:v>
      </x:c>
      <x:c r="C25" s="33" t="n">
        <x:v>128</x:v>
      </x:c>
      <x:c r="D25" s="33" t="n">
        <x:v>1</x:v>
      </x:c>
      <x:c r="E25" s="35" t="n">
        <x:f>B25*C25*D25</x:f>
        <x:v>7168</x:v>
      </x:c>
    </x:row>
    <x:row r="26">
      <x:c r="A26" t="str">
        <x:v>Итого норм</x:v>
      </x:c>
      <x:c r="B26" t="n">
        <x:f>SUM(B24:B25)</x:f>
        <x:v>113</x:v>
      </x:c>
      <x:c r="E26" s="35" t="n">
        <x:f>SUM(E24:E25)</x:f>
        <x:v>65536</x:v>
      </x:c>
    </x:row>
    <x:row r="27">
      <x:c r="A27" t="str">
        <x:v>Сверка с norm</x:v>
      </x:c>
      <x:c r="E27" s="34" t="str">
        <x:f>IF(AND(B26=B13,E26=F13),"сходится","РАСХОЖДЕНИЕ")</x:f>
        <x:v>сходится</x:v>
      </x:c>
    </x:row>
    <x:row r="28">
      <x:c r="A28" t="str">
        <x:v>Собственные веса lm_head</x:v>
      </x:c>
      <x:c r="E28" s="34" t="str">
        <x:f>IF(F14=0,"сходится","РАСХОЖДЕНИЕ")</x:f>
        <x:v>сходится</x:v>
      </x:c>
    </x:row>
  </x:sheetData>
  <x:mergeCells>
    <x:mergeCell ref="A17:E17"/>
    <x:mergeCell ref="A18:E18"/>
    <x:mergeCell ref="A21:E21"/>
    <x:mergeCell ref="A28:D28"/>
  </x:mergeCells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conditionalFormatting sqref="E27:E27">
    <x:cfRule type="containsText" dxfId="2" priority="5" operator="containsText" text="РАСХОЖДЕНИЕ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26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26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26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26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26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26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26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28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25" t="n">
        <x:v>1146880</x:v>
      </x:c>
    </x:row>
    <x:row r="17">
      <x:c r="A17" s="14" t="inlineStr">
        <x:is>
          <x:t xml:space="preserve">совпало?</x:t>
        </x:is>
      </x:c>
      <x:c r="E17" s="26" t="str">
        <x:f>IF(E16="","заполните",IF(E15=E16,"да, совпало","НЕ СОВПАЛО"))</x:f>
        <x:v>да, совпало</x:v>
      </x:c>
    </x:row>
    <x:row r="18">
      <x:c r="E18" s="27"/>
    </x:row>
    <x:row r="19">
      <x:c r="A19" s="14" t="inlineStr">
        <x:is>
          <x:t xml:space="preserve">параметров базовой модели</x:t>
        </x:is>
      </x:c>
      <x:c r="E19" s="25" t="n">
        <x:v>596049920</x:v>
      </x:c>
    </x:row>
    <x:row r="20">
      <x:c r="A20" s="14" t="inlineStr">
        <x:is>
          <x:t xml:space="preserve">доля обучаемых</x:t>
        </x:is>
      </x:c>
      <x:c r="E20" s="47" t="n">
        <x:f>IF(E19="","",E15/E19)</x:f>
        <x:v>0.0019241341396371632</x:v>
      </x:c>
    </x:row>
    <x:row r="22">
      <x:c r="A22" s="30" t="str">
        <x:v>Второй конфиг: r=16, семь линейных проекций</x:v>
      </x:c>
      <x:c r="B22" s="30"/>
      <x:c r="C22" s="30"/>
      <x:c r="D22" s="30"/>
      <x:c r="E22" s="30"/>
      <x:c r="F22" s="30"/>
    </x:row>
    <x:row r="24">
      <x:c r="A24" s="41" t="inlineStr">
        <x:is>
          <x:t xml:space="preserve">r (ранг)</x:t>
        </x:is>
      </x:c>
      <x:c r="B24" s="39" t="n">
        <x:v>16</x:v>
      </x:c>
      <x:c r="C24" s="36"/>
      <x:c r="D24" s="36"/>
      <x:c r="E24" s="36"/>
      <x:c r="F24" s="36"/>
    </x:row>
    <x:row r="25">
      <x:c r="A25" s="41" t="inlineStr">
        <x:is>
          <x:t xml:space="preserve">lora_alpha</x:t>
        </x:is>
      </x:c>
      <x:c r="B25" s="39" t="n">
        <x:v>32</x:v>
      </x:c>
      <x:c r="C25" s="36"/>
      <x:c r="D25" s="36"/>
      <x:c r="E25" s="36"/>
      <x:c r="F25" s="36"/>
    </x:row>
    <x:row r="26">
      <x:c r="A26" s="36"/>
      <x:c r="B26" s="36"/>
      <x:c r="C26" s="36"/>
      <x:c r="D26" s="36"/>
      <x:c r="E26" s="36"/>
      <x:c r="F26" s="36"/>
    </x:row>
    <x:row r="27" ht="32" customHeight="1">
      <x:c r="A27" s="38" t="inlineStr">
        <x:is>
          <x:t xml:space="preserve">целевой модуль</x:t>
        </x:is>
      </x:c>
      <x:c r="B27" s="38" t="inlineStr">
        <x:is>
          <x:t xml:space="preserve">слоёв</x:t>
        </x:is>
      </x:c>
      <x:c r="C27" s="38" t="inlineStr">
        <x:is>
          <x:t xml:space="preserve">вход</x:t>
        </x:is>
      </x:c>
      <x:c r="D27" s="38" t="inlineStr">
        <x:is>
          <x:t xml:space="preserve">выход</x:t>
        </x:is>
      </x:c>
      <x:c r="E27" s="38" t="inlineStr">
        <x:is>
          <x:t xml:space="preserve">параметров адаптера
r × (вход + выход) × слоёв</x:t>
        </x:is>
      </x:c>
      <x:c r="F27" s="38" t="inlineStr">
        <x:is>
          <x:t xml:space="preserve">включён?</x:t>
        </x:is>
      </x:c>
    </x:row>
    <x:row r="28">
      <x:c r="A28" s="36" t="inlineStr">
        <x:is>
          <x:t xml:space="preserve">q_proj</x:t>
        </x:is>
      </x:c>
      <x:c r="B28" s="39" t="n">
        <x:v>28</x:v>
      </x:c>
      <x:c r="C28" s="39" t="n">
        <x:v>1024</x:v>
      </x:c>
      <x:c r="D28" s="39" t="n">
        <x:v>2048</x:v>
      </x:c>
      <x:c r="E28" s="43" t="n">
        <x:f>IF(OR(F28&lt;&gt;"да",COUNT(B28:D28)&lt;3),0,$B$24*(C28+D28)*B28)</x:f>
        <x:v>1376256</x:v>
      </x:c>
      <x:c r="F28" s="39" t="str">
        <x:v>да</x:v>
      </x:c>
    </x:row>
    <x:row r="29">
      <x:c r="A29" s="36" t="inlineStr">
        <x:is>
          <x:t xml:space="preserve">k_proj</x:t>
        </x:is>
      </x:c>
      <x:c r="B29" s="39" t="n">
        <x:v>28</x:v>
      </x:c>
      <x:c r="C29" s="39" t="n">
        <x:v>1024</x:v>
      </x:c>
      <x:c r="D29" s="39" t="n">
        <x:v>1024</x:v>
      </x:c>
      <x:c r="E29" s="43" t="n">
        <x:f>IF(OR(F29&lt;&gt;"да",COUNT(B29:D29)&lt;3),0,$B$24*(C29+D29)*B29)</x:f>
        <x:v>917504</x:v>
      </x:c>
      <x:c r="F29" s="39" t="str">
        <x:v>да</x:v>
      </x:c>
    </x:row>
    <x:row r="30">
      <x:c r="A30" s="36" t="inlineStr">
        <x:is>
          <x:t xml:space="preserve">v_proj</x:t>
        </x:is>
      </x:c>
      <x:c r="B30" s="39" t="n">
        <x:v>28</x:v>
      </x:c>
      <x:c r="C30" s="39" t="n">
        <x:v>1024</x:v>
      </x:c>
      <x:c r="D30" s="39" t="n">
        <x:v>1024</x:v>
      </x:c>
      <x:c r="E30" s="43" t="n">
        <x:f>IF(OR(F30&lt;&gt;"да",COUNT(B30:D30)&lt;3),0,$B$24*(C30+D30)*B30)</x:f>
        <x:v>917504</x:v>
      </x:c>
      <x:c r="F30" s="39" t="str">
        <x:v>да</x:v>
      </x:c>
    </x:row>
    <x:row r="31">
      <x:c r="A31" s="36" t="inlineStr">
        <x:is>
          <x:t xml:space="preserve">o_proj</x:t>
        </x:is>
      </x:c>
      <x:c r="B31" s="39" t="n">
        <x:v>28</x:v>
      </x:c>
      <x:c r="C31" s="39" t="n">
        <x:v>2048</x:v>
      </x:c>
      <x:c r="D31" s="39" t="n">
        <x:v>1024</x:v>
      </x:c>
      <x:c r="E31" s="43" t="n">
        <x:f>IF(OR(F31&lt;&gt;"да",COUNT(B31:D31)&lt;3),0,$B$24*(C31+D31)*B31)</x:f>
        <x:v>1376256</x:v>
      </x:c>
      <x:c r="F31" s="39" t="str">
        <x:v>да</x:v>
      </x:c>
    </x:row>
    <x:row r="32">
      <x:c r="A32" s="36" t="inlineStr">
        <x:is>
          <x:t xml:space="preserve">gate_proj</x:t>
        </x:is>
      </x:c>
      <x:c r="B32" s="39" t="n">
        <x:v>28</x:v>
      </x:c>
      <x:c r="C32" s="39" t="n">
        <x:v>1024</x:v>
      </x:c>
      <x:c r="D32" s="39" t="n">
        <x:v>3072</x:v>
      </x:c>
      <x:c r="E32" s="43" t="n">
        <x:f>IF(OR(F32&lt;&gt;"да",COUNT(B32:D32)&lt;3),0,$B$24*(C32+D32)*B32)</x:f>
        <x:v>1835008</x:v>
      </x:c>
      <x:c r="F32" s="39" t="str">
        <x:v>да</x:v>
      </x:c>
    </x:row>
    <x:row r="33">
      <x:c r="A33" s="36" t="inlineStr">
        <x:is>
          <x:t xml:space="preserve">up_proj</x:t>
        </x:is>
      </x:c>
      <x:c r="B33" s="39" t="n">
        <x:v>28</x:v>
      </x:c>
      <x:c r="C33" s="39" t="n">
        <x:v>1024</x:v>
      </x:c>
      <x:c r="D33" s="39" t="n">
        <x:v>3072</x:v>
      </x:c>
      <x:c r="E33" s="43" t="n">
        <x:f>IF(OR(F33&lt;&gt;"да",COUNT(B33:D33)&lt;3),0,$B$24*(C33+D33)*B33)</x:f>
        <x:v>1835008</x:v>
      </x:c>
      <x:c r="F33" s="39" t="str">
        <x:v>да</x:v>
      </x:c>
    </x:row>
    <x:row r="34">
      <x:c r="A34" s="36" t="inlineStr">
        <x:is>
          <x:t xml:space="preserve">down_proj</x:t>
        </x:is>
      </x:c>
      <x:c r="B34" s="39" t="n">
        <x:v>28</x:v>
      </x:c>
      <x:c r="C34" s="39" t="n">
        <x:v>3072</x:v>
      </x:c>
      <x:c r="D34" s="39" t="n">
        <x:v>1024</x:v>
      </x:c>
      <x:c r="E34" s="43" t="n">
        <x:f>IF(OR(F34&lt;&gt;"да",COUNT(B34:D34)&lt;3),0,$B$24*(C34+D34)*B34)</x:f>
        <x:v>1835008</x:v>
      </x:c>
      <x:c r="F34" s="39" t="str">
        <x:v>да</x:v>
      </x:c>
    </x:row>
    <x:row r="35">
      <x:c r="A35" s="41" t="inlineStr">
        <x:is>
          <x:t xml:space="preserve">по вашей формуле</x:t>
        </x:is>
      </x:c>
      <x:c r="B35" s="36"/>
      <x:c r="C35" s="36"/>
      <x:c r="D35" s="36"/>
      <x:c r="E35" s="44" t="n">
        <x:f>SUM(E28:E34)</x:f>
        <x:v>10092544</x:v>
      </x:c>
      <x:c r="F35" s="36"/>
    </x:row>
    <x:row r="36">
      <x:c r="A36" s="41" t="inlineStr">
        <x:is>
          <x:t xml:space="preserve">что показал peft</x:t>
        </x:is>
      </x:c>
      <x:c r="B36" s="36"/>
      <x:c r="C36" s="36"/>
      <x:c r="D36" s="36"/>
      <x:c r="E36" s="45" t="n">
        <x:v>10092544</x:v>
      </x:c>
      <x:c r="F36" s="36"/>
    </x:row>
    <x:row r="37">
      <x:c r="A37" s="41" t="inlineStr">
        <x:is>
          <x:t xml:space="preserve">совпало?</x:t>
        </x:is>
      </x:c>
      <x:c r="B37" s="36"/>
      <x:c r="C37" s="36"/>
      <x:c r="D37" s="36"/>
      <x:c r="E37" s="43" t="str">
        <x:f>IF(E36="","заполните",IF(E35=E36,"да, совпало","НЕ СОВПАЛО"))</x:f>
        <x:v>да, совпало</x:v>
      </x:c>
      <x:c r="F37" s="36"/>
    </x:row>
    <x:row r="38">
      <x:c r="A38" s="36"/>
      <x:c r="B38" s="36"/>
      <x:c r="C38" s="36"/>
      <x:c r="D38" s="36"/>
      <x:c r="E38" s="46"/>
      <x:c r="F38" s="36"/>
    </x:row>
    <x:row r="39">
      <x:c r="A39" s="41" t="inlineStr">
        <x:is>
          <x:t xml:space="preserve">параметров базовой модели</x:t>
        </x:is>
      </x:c>
      <x:c r="B39" s="36"/>
      <x:c r="C39" s="36"/>
      <x:c r="D39" s="36"/>
      <x:c r="E39" s="45" t="n">
        <x:v>596049920</x:v>
      </x:c>
      <x:c r="F39" s="36"/>
    </x:row>
    <x:row r="40">
      <x:c r="A40" s="41" t="inlineStr">
        <x:is>
          <x:t xml:space="preserve">доля обучаемых</x:t>
        </x:is>
      </x:c>
      <x:c r="B40" s="36"/>
      <x:c r="C40" s="36"/>
      <x:c r="D40" s="36"/>
      <x:c r="E40" s="48" t="n">
        <x:f>IF(E39="","",E35/E39)</x:f>
        <x:v>0.016932380428807035</x:v>
      </x:c>
      <x:c r="F40" s="36"/>
    </x:row>
  </x:sheetData>
  <x:mergeCells>
    <x:mergeCell ref="A22:F22"/>
    <x:mergeCell ref="A15:D15"/>
    <x:mergeCell ref="A16:D16"/>
    <x:mergeCell ref="A17:D17"/>
    <x:mergeCell ref="A19:D19"/>
    <x:mergeCell ref="A20:D20"/>
    <x:mergeCell ref="A35:D35"/>
    <x:mergeCell ref="A36:D36"/>
    <x:mergeCell ref="A37:D37"/>
    <x:mergeCell ref="A39:D39"/>
    <x:mergeCell ref="A40:D40"/>
  </x:mergeCells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conditionalFormatting sqref="E37:E37">
    <x:cfRule type="containsText" dxfId="3" priority="3" operator="containsText" text="НЕ СОВПАЛО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2" hidden="0" customWidth="1"/>
    <x:col min="2" max="2" width="48" hidden="0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str">
        <x:v>Пик, МиБ</x:v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51" t="n">
        <x:v>2221.6</x:v>
      </x:c>
      <x:c r="C5" s="19" t="n">
        <x:f>IF($B$5="","",B5/$B$5)</x:f>
        <x:v>1</x:v>
      </x:c>
      <x:c r="D5" s="52" t="n">
        <x:v>1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51" t="n">
        <x:v>6107.6</x:v>
      </x:c>
      <x:c r="C6" s="19" t="n">
        <x:f>IF($B$5="","",B6/$B$5)</x:f>
        <x:v>2.7491897731364783</x:v>
      </x:c>
      <x:c r="D6" s="52" t="n">
        <x:v>2.6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51" t="n">
        <x:v>3603.6</x:v>
      </x:c>
      <x:c r="C7" s="19" t="n">
        <x:f>IF($B$5="","",B7/$B$5)</x:f>
        <x:v>1.6220741807706158</x:v>
      </x:c>
      <x:c r="D7" s="52" t="n">
        <x:v>1.6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str">
        <x:v>Веса модели, МиБ</x:v>
      </x:c>
    </x:row>
    <x:row r="14">
      <x:c r="A14" s="21"/>
      <x:c r="B14" s="53" t="n">
        <x:f>IF(COUNT(B10:B11)&lt;2,"",B10*B11/1048576)</x:f>
        <x:v>1136.875</x:v>
      </x:c>
    </x:row>
    <x:row r="16" ht="25" customHeight="1">
      <x:c r="A16" s="14" t="inlineStr">
        <x:is>
          <x:t xml:space="preserve">Условия замера — без них числа ничего не значат</x:t>
        </x:is>
      </x:c>
    </x:row>
    <x:row r="17">
      <x:c r="A17" s="49" t="inlineStr">
        <x:is>
          <x:t xml:space="preserve">устройство (cpu / cuda / mps)</x:t>
        </x:is>
      </x:c>
      <x:c r="B17" s="50" t="str">
        <x:v>mps</x:v>
      </x:c>
    </x:row>
    <x:row r="18" ht="38" customHeight="1">
      <x:c r="A18" s="49" t="inlineStr">
        <x:is>
          <x:t xml:space="preserve">чем меряли память</x:t>
        </x:is>
      </x:c>
      <x:c r="B18" s="50" t="str">
        <x:v>torch.mps.driver_allocated_memory</x:v>
      </x:c>
    </x:row>
    <x:row r="19">
      <x:c r="A19" s="49" t="inlineStr">
        <x:is>
          <x:t xml:space="preserve">dtype</x:t>
        </x:is>
      </x:c>
      <x:c r="B19" s="50" t="str">
        <x:v>bfloat16</x:v>
      </x:c>
    </x:row>
    <x:row r="20">
      <x:c r="A20" s="49" t="inlineStr">
        <x:is>
          <x:t xml:space="preserve">seq_len</x:t>
        </x:is>
      </x:c>
      <x:c r="B20" s="50" t="n">
        <x:v>256</x:v>
      </x:c>
    </x:row>
    <x:row r="21">
      <x:c r="A21" s="49" t="inlineStr">
        <x:is>
          <x:t xml:space="preserve">batch_size</x:t>
        </x:is>
      </x:c>
      <x:c r="B21" s="50" t="n">
        <x:v>1</x:v>
      </x:c>
    </x:row>
    <x:row r="22">
      <x:c r="A22" s="49" t="inlineStr">
        <x:is>
          <x:t xml:space="preserve">сколько раз повторяли замер</x:t>
        </x:is>
      </x:c>
      <x:c r="B22" s="50" t="n">
        <x:v>1</x:v>
      </x:c>
    </x:row>
    <x:row r="23" ht="52" customHeight="1">
      <x:c r="A23" s="49" t="inlineStr">
        <x:is>
          <x:t xml:space="preserve">что именно в шаге (forward / +backward / +optimizer)</x:t>
        </x:is>
      </x:c>
      <x:c r="B23" s="50" t="str">
        <x:v>Инференс: forward. Full FT / LoRA: forward + backward + AdamW.</x:v>
      </x:c>
    </x:row>
    <x:row r="24">
      <x:c r="A24" s="49" t="inlineStr">
        <x:is>
          <x:t xml:space="preserve">модель</x:t>
        </x:is>
      </x:c>
      <x:c r="B24" s="50" t="str">
        <x:v>Qwen/Qwen3-0.6B</x:v>
      </x:c>
    </x:row>
    <x:row r="26">
      <x:c r="A26" s="54" t="str">
        <x:v>Источник: docs/report.json, 2026-09-09T15:56:53.782441+00:00</x:v>
      </x:c>
      <x:c r="B26" s="54"/>
      <x:c r="C26" s="54"/>
      <x:c r="D26" s="54"/>
      <x:c r="E26" s="54"/>
    </x:row>
    <x:row r="27" ht="30" customHeight="1">
      <x:c r="A27" s="55" t="str">
        <x:v>Максимум выборок Metal: каждые 10 мс и после этапов. Каждый режим — отдельный процесс.</x:v>
      </x:c>
      <x:c r="B27" s="55"/>
      <x:c r="C27" s="55"/>
      <x:c r="D27" s="55"/>
      <x:c r="E27" s="55"/>
    </x:row>
  </x:sheetData>
  <x:mergeCells>
    <x:mergeCell ref="A13:A14"/>
    <x:mergeCell ref="A16:E16"/>
    <x:mergeCell ref="A26:E26"/>
    <x:mergeCell ref="A27:E27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68" customHeight="1">
      <x:c r="A5" s="14" t="n">
        <x:v>1</x:v>
      </x:c>
      <x:c r="B5" s="56" t="inlineStr">
        <x:is>
          <x:t xml:space="preserve">Почему lm_head в вашей таблице весит столько, сколько весит?</x:t>
        </x:is>
      </x:c>
      <x:c r="C5" s="57" t="str">
        <x:v>У lm_head 0 собственных параметров: tie_word_embeddings=True связывает его матрицу с embed_tokens. Общие 155 582 464 параметра учтены один раз в embed.</x:v>
      </x:c>
    </x:row>
    <x:row r="6" ht="68" customHeight="1">
      <x:c r="A6" s="14" t="n">
        <x:v>2</x:v>
      </x:c>
      <x:c r="B6" s="56" t="inlineStr">
        <x:is>
          <x:t xml:space="preserve">Почему k_proj вдвое меньше q_proj?</x:t>
        </x:is>
      </x:c>
      <x:c r="C6" s="57" t="str">
        <x:v>У Qwen3 16 Q-голов и 8 KV-голов, head_dim=128. Поэтому q_proj — 2048×1024, а k_proj — 1024×1024: вдвое меньше параметров.</x:v>
      </x:c>
    </x:row>
    <x:row r="7" ht="68" customHeight="1">
      <x:c r="A7" s="14" t="n">
        <x:v>3</x:v>
      </x:c>
      <x:c r="B7" s="56" t="inlineStr">
        <x:is>
          <x:t xml:space="preserve">Почему MLP занимает большую долю модели, чем всё внимание вместе?</x:t>
        </x:is>
      </x:c>
      <x:c r="C7" s="57" t="str">
        <x:v>Две матрицы MLP расширяют 1024 признака до 3072, третья сжимает обратно. На MLP приходится 44,33% параметров модели, на четыре проекции внимания — 29,55%.</x:v>
      </x:c>
    </x:row>
    <x:row r="8" ht="68" customHeight="1">
      <x:c r="A8" s="14" t="n">
        <x:v>4</x:v>
      </x:c>
      <x:c r="B8" s="56" t="inlineStr">
        <x:is>
          <x:t xml:space="preserve">Почему при 0,192% обучаемых параметров LoRA экономит намного больше памяти, чем 0,192%?</x:t>
        </x:is>
      </x:c>
      <x:c r="C8" s="57" t="str">
        <x:v>LoRA замораживает базовые веса: градиенты и AdamW нужны только для 1 146 880 параметров адаптера. Пик снижается с 6107.6 до 3603.6 МиБ, на 41.0%; базовые веса и активации остаются.</x:v>
      </x:c>
    </x:row>
    <x:row r="9" ht="68" customHeight="1">
      <x:c r="A9" s="14" t="n">
        <x:v>5</x:v>
      </x:c>
      <x:c r="B9" s="56" t="inlineStr">
        <x:is>
          <x:t xml:space="preserve">Ваша метрика памяти — какая и почему именно она подходит вашему устройству?</x:t>
        </x:is>
      </x:c>
      <x:c r="C9" s="57" t="str">
        <x:v>Использую максимум torch.mps.driver_allocated_memory(): модель работает на MPS, и эта метрика учитывает выделения драйвера Metal, включая кэш. RSS сохранён отдельно, он почти не различает три режима.</x:v>
      </x:c>
    </x:row>
  </x:sheetData>
  <x:pageMargins left="0.7" right="0.7" top="0.75" bottom="0.75" header="0.3" footer="0.3"/>
</x:worksheet>
</file>